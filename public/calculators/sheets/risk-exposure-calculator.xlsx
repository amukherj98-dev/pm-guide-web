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f8c25ae1a205b6/Desktop/Website/public/calculators/sheets/"/>
    </mc:Choice>
  </mc:AlternateContent>
  <xr:revisionPtr revIDLastSave="0" documentId="8_{BAADC176-A2FB-4521-B828-6B03D9B30AC4}" xr6:coauthVersionLast="47" xr6:coauthVersionMax="47" xr10:uidLastSave="{00000000-0000-0000-0000-000000000000}"/>
  <bookViews>
    <workbookView xWindow="3855" yWindow="3285" windowWidth="9645" windowHeight="9135" xr2:uid="{338FDFB4-700F-4593-B638-18C2A5D5D4D8}"/>
  </bookViews>
  <sheets>
    <sheet name="Risk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</calcChain>
</file>

<file path=xl/sharedStrings.xml><?xml version="1.0" encoding="utf-8"?>
<sst xmlns="http://schemas.openxmlformats.org/spreadsheetml/2006/main" count="44" uniqueCount="44">
  <si>
    <t>Risk Exposure Calculator</t>
  </si>
  <si>
    <t>Score = Likelihood × Impact  |  Priority: 1–4 Low, 5–9 Medium, 10–16 High, 20–25 Critical</t>
  </si>
  <si>
    <t>Risk ID</t>
  </si>
  <si>
    <t>Description</t>
  </si>
  <si>
    <t>Likelihood (1–5)</t>
  </si>
  <si>
    <t>Impact (1–5)</t>
  </si>
  <si>
    <t>Score (L×I)</t>
  </si>
  <si>
    <t>Priority</t>
  </si>
  <si>
    <t>Response</t>
  </si>
  <si>
    <t>R-001</t>
  </si>
  <si>
    <t>Key staff member leaves during project</t>
  </si>
  <si>
    <t>Knowledge transfer plan</t>
  </si>
  <si>
    <t>R-002</t>
  </si>
  <si>
    <t>Funding delayed or reduced</t>
  </si>
  <si>
    <t>Maintain reserve fund; escalate early</t>
  </si>
  <si>
    <t>R-003</t>
  </si>
  <si>
    <t>Scope creep from stakeholders</t>
  </si>
  <si>
    <t>Change control process</t>
  </si>
  <si>
    <t>R-004</t>
  </si>
  <si>
    <t>Supplier fails to deliver on time</t>
  </si>
  <si>
    <t>Identify backup suppliers</t>
  </si>
  <si>
    <t>R-005</t>
  </si>
  <si>
    <t>Data breach or IT failure</t>
  </si>
  <si>
    <t>IT security review; backup policy</t>
  </si>
  <si>
    <t>R-006</t>
  </si>
  <si>
    <t>Low volunteer/staff engagement</t>
  </si>
  <si>
    <t>Regular check-ins; recognition</t>
  </si>
  <si>
    <t>R-007</t>
  </si>
  <si>
    <t>Venue cancellation for key event</t>
  </si>
  <si>
    <t>Contingency venue booked</t>
  </si>
  <si>
    <t>R-008</t>
  </si>
  <si>
    <t>Regulatory/compliance change</t>
  </si>
  <si>
    <t>Monitor legal updates quarterly</t>
  </si>
  <si>
    <t>R-009</t>
  </si>
  <si>
    <t>Poor stakeholder communication</t>
  </si>
  <si>
    <t>Communication plan in place</t>
  </si>
  <si>
    <t>R-010</t>
  </si>
  <si>
    <t>Budget overrun</t>
  </si>
  <si>
    <t>Monthly budget reviews</t>
  </si>
  <si>
    <t>Summary</t>
  </si>
  <si>
    <t>Critical risks</t>
  </si>
  <si>
    <t>High risks</t>
  </si>
  <si>
    <t>Medium risks</t>
  </si>
  <si>
    <t>Low risks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</si>
</sst>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rgb="FF0D7D77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D7D77"/>
        <bgColor indexed="64"/>
      </patternFill>
    </fill>
    <fill>
      <patternFill patternType="solid">
        <fgColor rgb="FFF8F8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2" borderId="0" xfId="0" applyFont="1" applyFill="1"/>
    <xf numFmtId="0" fontId="0" fillId="3" borderId="0" xfId="0" applyFill="1"/>
  </cellXfs>
  <cellStyles count="1">
    <cellStyle name="Normal" xfId="0" builtinId="0"/>
  </cellStyles>
  <dxfs count="4">
    <dxf>
      <font>
        <color rgb="FF009900"/>
      </font>
    </dxf>
    <dxf>
      <font>
        <color rgb="FF808000"/>
      </font>
    </dxf>
    <dxf>
      <font>
        <b/>
        <i val="0"/>
        <color rgb="FFFF8000"/>
      </font>
    </dxf>
    <dxf>
      <font>
        <b/>
        <i val="0"/>
        <color rgb="FFCC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B29F-8428-4AAA-9570-0BA0C4AF7DD3}">
  <dimension ref="A1:G20"/>
  <sheetViews>
    <sheetView tabSelected="1" workbookViewId="0">
      <pane ySplit="4" topLeftCell="A5" activePane="bottomLeft" state="frozen"/>
      <selection pane="bottomLeft" activeCell="A5" sqref="A5:XFD5"/>
    </sheetView>
  </sheetViews>
  <sheetFormatPr defaultRowHeight="15" x14ac:dyDescent="0.25"/>
  <cols>
    <col min="1" max="1" width="10.7109375" customWidth="1"/>
    <col min="2" max="2" width="36.7109375" customWidth="1"/>
    <col min="3" max="3" width="16.7109375" customWidth="1"/>
    <col min="4" max="5" width="14.7109375" customWidth="1"/>
    <col min="6" max="6" width="12.7109375" customWidth="1"/>
    <col min="7" max="7" width="36.7109375" customWidth="1"/>
  </cols>
  <sheetData>
    <row r="1" spans="1:7" ht="18.75" x14ac:dyDescent="0.3">
      <c r="A1" s="2" t="s">
        <v>0</v>
      </c>
      <c r="B1" s="3"/>
      <c r="C1" s="3"/>
      <c r="D1" s="3"/>
      <c r="E1" s="3"/>
      <c r="F1" s="3"/>
      <c r="G1" s="3"/>
    </row>
    <row r="2" spans="1:7" x14ac:dyDescent="0.25">
      <c r="A2" s="4" t="s">
        <v>1</v>
      </c>
      <c r="B2" s="1"/>
      <c r="C2" s="1"/>
      <c r="D2" s="1"/>
      <c r="E2" s="1"/>
      <c r="F2" s="1"/>
      <c r="G2" s="1"/>
    </row>
    <row r="4" spans="1:7" ht="20.100000000000001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spans="1:7" x14ac:dyDescent="0.25">
      <c r="A5" s="6" t="s">
        <v>9</v>
      </c>
      <c r="B5" s="6" t="s">
        <v>10</v>
      </c>
      <c r="C5" s="6">
        <v>3</v>
      </c>
      <c r="D5" s="6">
        <v>4</v>
      </c>
      <c r="E5" s="6">
        <f>C5*D5</f>
        <v>12</v>
      </c>
      <c r="F5" s="6" t="str">
        <f>IF(E5&gt;=20,"Critical",IF(E5&gt;=10,"High",IF(E5&gt;=5,"Medium","Low")))</f>
        <v>High</v>
      </c>
      <c r="G5" s="6" t="s">
        <v>11</v>
      </c>
    </row>
    <row r="6" spans="1:7" x14ac:dyDescent="0.25">
      <c r="A6" t="s">
        <v>12</v>
      </c>
      <c r="B6" t="s">
        <v>13</v>
      </c>
      <c r="C6">
        <v>4</v>
      </c>
      <c r="D6">
        <v>5</v>
      </c>
      <c r="E6">
        <f>C6*D6</f>
        <v>20</v>
      </c>
      <c r="F6" t="str">
        <f>IF(E6&gt;=20,"Critical",IF(E6&gt;=10,"High",IF(E6&gt;=5,"Medium","Low")))</f>
        <v>Critical</v>
      </c>
      <c r="G6" t="s">
        <v>14</v>
      </c>
    </row>
    <row r="7" spans="1:7" x14ac:dyDescent="0.25">
      <c r="A7" s="6" t="s">
        <v>15</v>
      </c>
      <c r="B7" s="6" t="s">
        <v>16</v>
      </c>
      <c r="C7" s="6">
        <v>4</v>
      </c>
      <c r="D7" s="6">
        <v>3</v>
      </c>
      <c r="E7" s="6">
        <f>C7*D7</f>
        <v>12</v>
      </c>
      <c r="F7" s="6" t="str">
        <f>IF(E7&gt;=20,"Critical",IF(E7&gt;=10,"High",IF(E7&gt;=5,"Medium","Low")))</f>
        <v>High</v>
      </c>
      <c r="G7" s="6" t="s">
        <v>17</v>
      </c>
    </row>
    <row r="8" spans="1:7" x14ac:dyDescent="0.25">
      <c r="A8" t="s">
        <v>18</v>
      </c>
      <c r="B8" t="s">
        <v>19</v>
      </c>
      <c r="C8">
        <v>2</v>
      </c>
      <c r="D8">
        <v>4</v>
      </c>
      <c r="E8">
        <f>C8*D8</f>
        <v>8</v>
      </c>
      <c r="F8" t="str">
        <f>IF(E8&gt;=20,"Critical",IF(E8&gt;=10,"High",IF(E8&gt;=5,"Medium","Low")))</f>
        <v>Medium</v>
      </c>
      <c r="G8" t="s">
        <v>20</v>
      </c>
    </row>
    <row r="9" spans="1:7" x14ac:dyDescent="0.25">
      <c r="A9" s="6" t="s">
        <v>21</v>
      </c>
      <c r="B9" s="6" t="s">
        <v>22</v>
      </c>
      <c r="C9" s="6">
        <v>2</v>
      </c>
      <c r="D9" s="6">
        <v>5</v>
      </c>
      <c r="E9" s="6">
        <f>C9*D9</f>
        <v>10</v>
      </c>
      <c r="F9" s="6" t="str">
        <f>IF(E9&gt;=20,"Critical",IF(E9&gt;=10,"High",IF(E9&gt;=5,"Medium","Low")))</f>
        <v>High</v>
      </c>
      <c r="G9" s="6" t="s">
        <v>23</v>
      </c>
    </row>
    <row r="10" spans="1:7" x14ac:dyDescent="0.25">
      <c r="A10" t="s">
        <v>24</v>
      </c>
      <c r="B10" t="s">
        <v>25</v>
      </c>
      <c r="C10">
        <v>3</v>
      </c>
      <c r="D10">
        <v>3</v>
      </c>
      <c r="E10">
        <f>C10*D10</f>
        <v>9</v>
      </c>
      <c r="F10" t="str">
        <f>IF(E10&gt;=20,"Critical",IF(E10&gt;=10,"High",IF(E10&gt;=5,"Medium","Low")))</f>
        <v>Medium</v>
      </c>
      <c r="G10" t="s">
        <v>26</v>
      </c>
    </row>
    <row r="11" spans="1:7" x14ac:dyDescent="0.25">
      <c r="A11" s="6" t="s">
        <v>27</v>
      </c>
      <c r="B11" s="6" t="s">
        <v>28</v>
      </c>
      <c r="C11" s="6">
        <v>1</v>
      </c>
      <c r="D11" s="6">
        <v>4</v>
      </c>
      <c r="E11" s="6">
        <f>C11*D11</f>
        <v>4</v>
      </c>
      <c r="F11" s="6" t="str">
        <f>IF(E11&gt;=20,"Critical",IF(E11&gt;=10,"High",IF(E11&gt;=5,"Medium","Low")))</f>
        <v>Low</v>
      </c>
      <c r="G11" s="6" t="s">
        <v>29</v>
      </c>
    </row>
    <row r="12" spans="1:7" x14ac:dyDescent="0.25">
      <c r="A12" t="s">
        <v>30</v>
      </c>
      <c r="B12" t="s">
        <v>31</v>
      </c>
      <c r="C12">
        <v>2</v>
      </c>
      <c r="D12">
        <v>3</v>
      </c>
      <c r="E12">
        <f>C12*D12</f>
        <v>6</v>
      </c>
      <c r="F12" t="str">
        <f>IF(E12&gt;=20,"Critical",IF(E12&gt;=10,"High",IF(E12&gt;=5,"Medium","Low")))</f>
        <v>Medium</v>
      </c>
      <c r="G12" t="s">
        <v>32</v>
      </c>
    </row>
    <row r="13" spans="1:7" x14ac:dyDescent="0.25">
      <c r="A13" s="6" t="s">
        <v>33</v>
      </c>
      <c r="B13" s="6" t="s">
        <v>34</v>
      </c>
      <c r="C13" s="6">
        <v>3</v>
      </c>
      <c r="D13" s="6">
        <v>2</v>
      </c>
      <c r="E13" s="6">
        <f>C13*D13</f>
        <v>6</v>
      </c>
      <c r="F13" s="6" t="str">
        <f>IF(E13&gt;=20,"Critical",IF(E13&gt;=10,"High",IF(E13&gt;=5,"Medium","Low")))</f>
        <v>Medium</v>
      </c>
      <c r="G13" s="6" t="s">
        <v>35</v>
      </c>
    </row>
    <row r="14" spans="1:7" x14ac:dyDescent="0.25">
      <c r="A14" t="s">
        <v>36</v>
      </c>
      <c r="B14" t="s">
        <v>37</v>
      </c>
      <c r="C14">
        <v>3</v>
      </c>
      <c r="D14">
        <v>4</v>
      </c>
      <c r="E14">
        <f>C14*D14</f>
        <v>12</v>
      </c>
      <c r="F14" t="str">
        <f>IF(E14&gt;=20,"Critical",IF(E14&gt;=10,"High",IF(E14&gt;=5,"Medium","Low")))</f>
        <v>High</v>
      </c>
      <c r="G14" t="s">
        <v>38</v>
      </c>
    </row>
    <row r="16" spans="1:7" x14ac:dyDescent="0.25">
      <c r="A16" s="5" t="s">
        <v>39</v>
      </c>
    </row>
    <row r="17" spans="1:2" x14ac:dyDescent="0.25">
      <c r="A17" t="s">
        <v>40</v>
      </c>
      <c r="B17">
        <f>COUNTIF(F5:F14,"Critical")</f>
        <v>1</v>
      </c>
    </row>
    <row r="18" spans="1:2" x14ac:dyDescent="0.25">
      <c r="A18" t="s">
        <v>41</v>
      </c>
      <c r="B18">
        <f>COUNTIF(F5:F14,"High")</f>
        <v>4</v>
      </c>
    </row>
    <row r="19" spans="1:2" x14ac:dyDescent="0.25">
      <c r="A19" t="s">
        <v>42</v>
      </c>
      <c r="B19">
        <f>COUNTIF(F5:F14,"Medium")</f>
        <v>4</v>
      </c>
    </row>
    <row r="20" spans="1:2" x14ac:dyDescent="0.25">
      <c r="A20" t="s">
        <v>43</v>
      </c>
      <c r="B20">
        <f>COUNTIF(F5:F14,"Low")</f>
        <v>1</v>
      </c>
    </row>
  </sheetData>
  <mergeCells count="2">
    <mergeCell ref="A1:G1"/>
    <mergeCell ref="A2:G2"/>
  </mergeCells>
  <conditionalFormatting sqref="F5:F14">
    <cfRule type="expression" dxfId="3" priority="1" stopIfTrue="1">
      <formula>"Critical"</formula>
    </cfRule>
    <cfRule type="expression" dxfId="2" priority="2" stopIfTrue="1">
      <formula>"High"</formula>
    </cfRule>
    <cfRule type="expression" dxfId="1" priority="3" stopIfTrue="1">
      <formula>"Medium"</formula>
    </cfRule>
    <cfRule type="expression" dxfId="0" priority="4" stopIfTrue="1">
      <formula>"Low"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Mukherjee</dc:creator>
  <cp:lastModifiedBy>Ayush Mukherjee</cp:lastModifiedBy>
  <dcterms:created xsi:type="dcterms:W3CDTF">2026-04-27T18:47:26Z</dcterms:created>
  <dcterms:modified xsi:type="dcterms:W3CDTF">2026-04-27T18:47:29Z</dcterms:modified>
</cp:coreProperties>
</file>