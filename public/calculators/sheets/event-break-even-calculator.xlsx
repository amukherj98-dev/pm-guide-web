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f8c25ae1a205b6/Desktop/Website/public/calculators/sheets/"/>
    </mc:Choice>
  </mc:AlternateContent>
  <xr:revisionPtr revIDLastSave="0" documentId="8_{DF69A0D9-A97F-4946-9F74-9A1348C33922}" xr6:coauthVersionLast="47" xr6:coauthVersionMax="47" xr10:uidLastSave="{00000000-0000-0000-0000-000000000000}"/>
  <bookViews>
    <workbookView xWindow="3855" yWindow="3285" windowWidth="9645" windowHeight="9135" xr2:uid="{8BCFD6AF-116C-4007-8586-62C626146139}"/>
  </bookViews>
  <sheets>
    <sheet name="Break-Ev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5" i="1" l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<sst xmlns="http://schemas.openxmlformats.org/spreadsheetml/2006/main" count="23" uniqueCount="23">
  <si>
    <t>Event Break-Even Calculator</t>
  </si>
  <si>
    <t>INPUTS</t>
  </si>
  <si>
    <t>Ticket Price (€)</t>
  </si>
  <si>
    <t>Price charged per ticket</t>
  </si>
  <si>
    <t>Expected Attendance</t>
  </si>
  <si>
    <t>Best estimate of attendees</t>
  </si>
  <si>
    <t>Fixed Costs (€)</t>
  </si>
  <si>
    <t>Venue, staff, equipment, insurance</t>
  </si>
  <si>
    <t>Variable Cost per Ticket (€)</t>
  </si>
  <si>
    <t>Catering, materials per person</t>
  </si>
  <si>
    <t>OUTPUTS</t>
  </si>
  <si>
    <t>Contribution per Ticket</t>
  </si>
  <si>
    <t>Ticket price minus variable cost</t>
  </si>
  <si>
    <t>Break-Even Attendance</t>
  </si>
  <si>
    <t>Minimum tickets to cover all costs</t>
  </si>
  <si>
    <t>Revenue at Expected Attendance</t>
  </si>
  <si>
    <t>Total Costs at Expected Attendance</t>
  </si>
  <si>
    <t>Profit / Loss at Expected Attendance</t>
  </si>
  <si>
    <t>SCENARIO TABLE</t>
  </si>
  <si>
    <t>Attendance</t>
  </si>
  <si>
    <t>Revenue</t>
  </si>
  <si>
    <t>Total Costs</t>
  </si>
  <si>
    <t>Profit /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</si>
</sst>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D7D77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D7D77"/>
        <bgColor indexed="64"/>
      </patternFill>
    </fill>
    <fill>
      <patternFill patternType="solid">
        <fgColor rgb="FFCCF0FF"/>
        <bgColor indexed="64"/>
      </patternFill>
    </fill>
    <fill>
      <patternFill patternType="solid">
        <fgColor rgb="FF888888"/>
        <bgColor indexed="64"/>
      </patternFill>
    </fill>
    <fill>
      <patternFill patternType="solid">
        <fgColor rgb="FFF8F8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/>
    <xf numFmtId="0" fontId="1" fillId="0" borderId="0" xfId="0" applyFont="1"/>
    <xf numFmtId="0" fontId="3" fillId="4" borderId="0" xfId="0" applyFont="1" applyFill="1"/>
    <xf numFmtId="0" fontId="0" fillId="5" borderId="0" xfId="0" applyFill="1"/>
    <xf numFmtId="164" fontId="0" fillId="3" borderId="0" xfId="0" applyNumberFormat="1" applyFill="1"/>
    <xf numFmtId="164" fontId="0" fillId="0" borderId="0" xfId="0" applyNumberFormat="1"/>
    <xf numFmtId="164" fontId="1" fillId="0" borderId="0" xfId="0" applyNumberFormat="1" applyFont="1"/>
    <xf numFmtId="164" fontId="0" fillId="5" borderId="0" xfId="0" applyNumberFormat="1" applyFill="1"/>
  </cellXfs>
  <cellStyles count="1">
    <cellStyle name="Normal" xfId="0" builtinId="0"/>
  </cellStyles>
  <dxfs count="2">
    <dxf>
      <font>
        <b/>
        <i val="0"/>
        <color rgb="FFCC0000"/>
      </font>
    </dxf>
    <dxf>
      <font>
        <b/>
        <i val="0"/>
        <color rgb="FF0099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5A41F-098A-496A-9299-B43A927BDCF9}">
  <dimension ref="A1:D25"/>
  <sheetViews>
    <sheetView tabSelected="1" workbookViewId="0">
      <pane ySplit="4" topLeftCell="A5" activePane="bottomLeft" state="frozen"/>
      <selection pane="bottomLeft" activeCell="A5" sqref="A5:XFD5"/>
    </sheetView>
  </sheetViews>
  <sheetFormatPr defaultRowHeight="15" x14ac:dyDescent="0.25"/>
  <cols>
    <col min="1" max="1" width="30.7109375" customWidth="1"/>
    <col min="2" max="3" width="16.7109375" customWidth="1"/>
    <col min="4" max="4" width="30.7109375" customWidth="1"/>
  </cols>
  <sheetData>
    <row r="1" spans="1:4" ht="18.75" x14ac:dyDescent="0.3">
      <c r="A1" s="2" t="s">
        <v>0</v>
      </c>
      <c r="B1" s="3"/>
      <c r="C1" s="3"/>
      <c r="D1" s="3"/>
    </row>
    <row r="3" spans="1:4" x14ac:dyDescent="0.25">
      <c r="A3" s="4" t="s">
        <v>1</v>
      </c>
      <c r="B3" s="1"/>
      <c r="C3" s="1"/>
      <c r="D3" s="1"/>
    </row>
    <row r="4" spans="1:4" x14ac:dyDescent="0.25">
      <c r="A4" t="s">
        <v>2</v>
      </c>
      <c r="B4" s="8">
        <v>50</v>
      </c>
      <c r="C4" t="s">
        <v>3</v>
      </c>
    </row>
    <row r="5" spans="1:4" x14ac:dyDescent="0.25">
      <c r="A5" t="s">
        <v>4</v>
      </c>
      <c r="B5" s="8">
        <v>200</v>
      </c>
      <c r="C5" t="s">
        <v>5</v>
      </c>
    </row>
    <row r="6" spans="1:4" x14ac:dyDescent="0.25">
      <c r="A6" t="s">
        <v>6</v>
      </c>
      <c r="B6" s="8">
        <v>4000</v>
      </c>
      <c r="C6" t="s">
        <v>7</v>
      </c>
    </row>
    <row r="7" spans="1:4" x14ac:dyDescent="0.25">
      <c r="A7" t="s">
        <v>8</v>
      </c>
      <c r="B7" s="8">
        <v>12</v>
      </c>
      <c r="C7" t="s">
        <v>9</v>
      </c>
    </row>
    <row r="9" spans="1:4" x14ac:dyDescent="0.25">
      <c r="A9" s="4" t="s">
        <v>10</v>
      </c>
      <c r="B9" s="1"/>
      <c r="C9" s="1"/>
      <c r="D9" s="1"/>
    </row>
    <row r="10" spans="1:4" x14ac:dyDescent="0.25">
      <c r="A10" t="s">
        <v>11</v>
      </c>
      <c r="B10" s="9">
        <f>B4-B7</f>
        <v>38</v>
      </c>
      <c r="C10" t="s">
        <v>12</v>
      </c>
    </row>
    <row r="11" spans="1:4" x14ac:dyDescent="0.25">
      <c r="A11" t="s">
        <v>13</v>
      </c>
      <c r="B11" s="9">
        <f>IF(B10&gt;0,CEILING(B6/B10,1),"N/A")</f>
        <v>106</v>
      </c>
      <c r="C11" t="s">
        <v>14</v>
      </c>
    </row>
    <row r="12" spans="1:4" x14ac:dyDescent="0.25">
      <c r="A12" t="s">
        <v>15</v>
      </c>
      <c r="B12" s="9">
        <f>B4*B5</f>
        <v>10000</v>
      </c>
    </row>
    <row r="13" spans="1:4" x14ac:dyDescent="0.25">
      <c r="A13" t="s">
        <v>16</v>
      </c>
      <c r="B13" s="9">
        <f>B6+(B7*B5)</f>
        <v>6400</v>
      </c>
    </row>
    <row r="14" spans="1:4" x14ac:dyDescent="0.25">
      <c r="A14" s="5" t="s">
        <v>17</v>
      </c>
      <c r="B14" s="10">
        <f>B12-B13</f>
        <v>3600</v>
      </c>
    </row>
    <row r="16" spans="1:4" x14ac:dyDescent="0.25">
      <c r="A16" s="4" t="s">
        <v>18</v>
      </c>
      <c r="B16" s="1"/>
      <c r="C16" s="1"/>
      <c r="D16" s="1"/>
    </row>
    <row r="17" spans="1:4" x14ac:dyDescent="0.25">
      <c r="A17" s="6" t="s">
        <v>19</v>
      </c>
      <c r="B17" s="6" t="s">
        <v>20</v>
      </c>
      <c r="C17" s="6" t="s">
        <v>21</v>
      </c>
      <c r="D17" s="6" t="s">
        <v>22</v>
      </c>
    </row>
    <row r="18" spans="1:4" x14ac:dyDescent="0.25">
      <c r="A18" s="7"/>
      <c r="B18" s="11">
        <f>$B$4*A18</f>
        <v>0</v>
      </c>
      <c r="C18" s="11">
        <f>$B$6+($B$7*A18)</f>
        <v>4000</v>
      </c>
      <c r="D18" s="11">
        <f>B18-C18</f>
        <v>-4000</v>
      </c>
    </row>
    <row r="19" spans="1:4" x14ac:dyDescent="0.25">
      <c r="B19" s="9">
        <f>$B$4*A19</f>
        <v>0</v>
      </c>
      <c r="C19" s="9">
        <f>$B$6+($B$7*A19)</f>
        <v>4000</v>
      </c>
      <c r="D19" s="9">
        <f>B19-C19</f>
        <v>-4000</v>
      </c>
    </row>
    <row r="20" spans="1:4" x14ac:dyDescent="0.25">
      <c r="A20" s="7"/>
      <c r="B20" s="11">
        <f>$B$4*A20</f>
        <v>0</v>
      </c>
      <c r="C20" s="11">
        <f>$B$6+($B$7*A20)</f>
        <v>4000</v>
      </c>
      <c r="D20" s="11">
        <f>B20-C20</f>
        <v>-4000</v>
      </c>
    </row>
    <row r="21" spans="1:4" x14ac:dyDescent="0.25">
      <c r="B21" s="9">
        <f>$B$4*A21</f>
        <v>0</v>
      </c>
      <c r="C21" s="9">
        <f>$B$6+($B$7*A21)</f>
        <v>4000</v>
      </c>
      <c r="D21" s="9">
        <f>B21-C21</f>
        <v>-4000</v>
      </c>
    </row>
    <row r="22" spans="1:4" x14ac:dyDescent="0.25">
      <c r="A22" s="7"/>
      <c r="B22" s="11">
        <f>$B$4*A22</f>
        <v>0</v>
      </c>
      <c r="C22" s="11">
        <f>$B$6+($B$7*A22)</f>
        <v>4000</v>
      </c>
      <c r="D22" s="11">
        <f>B22-C22</f>
        <v>-4000</v>
      </c>
    </row>
    <row r="23" spans="1:4" x14ac:dyDescent="0.25">
      <c r="B23" s="9">
        <f>$B$4*A23</f>
        <v>0</v>
      </c>
      <c r="C23" s="9">
        <f>$B$6+($B$7*A23)</f>
        <v>4000</v>
      </c>
      <c r="D23" s="9">
        <f>B23-C23</f>
        <v>-4000</v>
      </c>
    </row>
    <row r="24" spans="1:4" x14ac:dyDescent="0.25">
      <c r="A24" s="7"/>
      <c r="B24" s="11">
        <f>$B$4*A24</f>
        <v>0</v>
      </c>
      <c r="C24" s="11">
        <f>$B$6+($B$7*A24)</f>
        <v>4000</v>
      </c>
      <c r="D24" s="11">
        <f>B24-C24</f>
        <v>-4000</v>
      </c>
    </row>
    <row r="25" spans="1:4" x14ac:dyDescent="0.25">
      <c r="B25" s="9">
        <f>$B$4*A25</f>
        <v>0</v>
      </c>
      <c r="C25" s="9">
        <f>$B$6+($B$7*A25)</f>
        <v>4000</v>
      </c>
      <c r="D25" s="9">
        <f>B25-C25</f>
        <v>-4000</v>
      </c>
    </row>
  </sheetData>
  <mergeCells count="4">
    <mergeCell ref="A1:D1"/>
    <mergeCell ref="A3:D3"/>
    <mergeCell ref="A9:D9"/>
    <mergeCell ref="A16:D16"/>
  </mergeCells>
  <conditionalFormatting sqref="B14">
    <cfRule type="cellIs" dxfId="1" priority="1" stopIfTrue="1" operator="equal">
      <formula>0</formula>
    </cfRule>
    <cfRule type="cellIs" dxfId="0" priority="2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Break-Even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Mukherjee</dc:creator>
  <cp:lastModifiedBy>Ayush Mukherjee</cp:lastModifiedBy>
  <dcterms:created xsi:type="dcterms:W3CDTF">2026-04-27T18:55:42Z</dcterms:created>
  <dcterms:modified xsi:type="dcterms:W3CDTF">2026-04-27T18:55:45Z</dcterms:modified>
</cp:coreProperties>
</file>