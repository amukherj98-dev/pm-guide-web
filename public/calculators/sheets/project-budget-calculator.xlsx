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f8c25ae1a205b6/Desktop/Website/public/calculators/sheets/"/>
    </mc:Choice>
  </mc:AlternateContent>
  <xr:revisionPtr revIDLastSave="0" documentId="8_{0D01230F-8C97-4C58-A36C-72C31A7DBEB6}" xr6:coauthVersionLast="47" xr6:coauthVersionMax="47" xr10:uidLastSave="{00000000-0000-0000-0000-000000000000}"/>
  <bookViews>
    <workbookView xWindow="3855" yWindow="3285" windowWidth="9645" windowHeight="9135" xr2:uid="{5B2E29FB-E268-4CF2-AAE8-581986CD5C80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E16" i="1"/>
  <c r="E15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<sst xmlns="http://schemas.openxmlformats.org/spreadsheetml/2006/main" count="45" uniqueCount="35">
  <si>
    <t>Project Budget Calculator</t>
  </si>
  <si>
    <t>Category</t>
  </si>
  <si>
    <t>Item</t>
  </si>
  <si>
    <t>Unit Cost</t>
  </si>
  <si>
    <t>Quantity</t>
  </si>
  <si>
    <t>Subtotal</t>
  </si>
  <si>
    <t>Funding Source</t>
  </si>
  <si>
    <t>Notes</t>
  </si>
  <si>
    <t>Personnel</t>
  </si>
  <si>
    <t>Project Manager</t>
  </si>
  <si>
    <t>Grant</t>
  </si>
  <si>
    <t>Monthly rate</t>
  </si>
  <si>
    <t>Support Staff</t>
  </si>
  <si>
    <t>Equipment</t>
  </si>
  <si>
    <t>Laptop</t>
  </si>
  <si>
    <t>Own funds</t>
  </si>
  <si>
    <t>Projector</t>
  </si>
  <si>
    <t>Venue</t>
  </si>
  <si>
    <t>Meeting Room</t>
  </si>
  <si>
    <t>Donation</t>
  </si>
  <si>
    <t>Per day</t>
  </si>
  <si>
    <t>Marketing</t>
  </si>
  <si>
    <t>Flyers</t>
  </si>
  <si>
    <t>Social Media Ads</t>
  </si>
  <si>
    <t>Monthly</t>
  </si>
  <si>
    <t>Travel</t>
  </si>
  <si>
    <t>Transport</t>
  </si>
  <si>
    <t>Per trip</t>
  </si>
  <si>
    <t>Training</t>
  </si>
  <si>
    <t>Workshop Materials</t>
  </si>
  <si>
    <t>Miscellaneous</t>
  </si>
  <si>
    <t>Contingency reserve</t>
  </si>
  <si>
    <t>See summary</t>
  </si>
  <si>
    <t>Contingency (10%)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</si>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</sst>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3" x14ac:knownFonts="1">
    <font>
      <sz val="11"/>
      <color theme="1"/>
      <name val="Aptos Narrow"/>
      <family val="2"/>
      <scheme val="minor"/>
    </font>
    <font>
      <b/>
      <sz val="14"/>
      <color rgb="FF0D7D77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7D77"/>
        <bgColor indexed="64"/>
      </patternFill>
    </fill>
    <fill>
      <patternFill patternType="solid">
        <fgColor rgb="FFF8F8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8FD1-FFAC-49F1-A4BE-8BD1C32A0C3F}">
  <dimension ref="A1:G17"/>
  <sheetViews>
    <sheetView tabSelected="1" workbookViewId="0">
      <pane ySplit="3" topLeftCell="A4" activePane="bottomLeft" state="frozen"/>
      <selection pane="bottomLeft" activeCell="A4" sqref="A4:XFD4"/>
    </sheetView>
  </sheetViews>
  <sheetFormatPr defaultRowHeight="15" x14ac:dyDescent="0.25"/>
  <cols>
    <col min="1" max="1" width="16.7109375" customWidth="1"/>
    <col min="2" max="2" width="22.7109375" customWidth="1"/>
    <col min="3" max="3" width="12.7109375" customWidth="1"/>
    <col min="4" max="4" width="10.7109375" customWidth="1"/>
    <col min="5" max="5" width="14.7109375" customWidth="1"/>
    <col min="6" max="6" width="16.7109375" customWidth="1"/>
    <col min="7" max="7" width="24.7109375" customWidth="1"/>
  </cols>
  <sheetData>
    <row r="1" spans="1:7" ht="18.75" x14ac:dyDescent="0.3">
      <c r="A1" s="1" t="s">
        <v>0</v>
      </c>
      <c r="B1" s="2"/>
      <c r="C1" s="2"/>
      <c r="D1" s="2"/>
      <c r="E1" s="2"/>
      <c r="F1" s="2"/>
      <c r="G1" s="2"/>
    </row>
    <row r="3" spans="1:7" ht="20.100000000000001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4" t="s">
        <v>8</v>
      </c>
      <c r="B4" s="4" t="s">
        <v>9</v>
      </c>
      <c r="C4" s="5">
        <v>500</v>
      </c>
      <c r="D4" s="4">
        <v>10</v>
      </c>
      <c r="E4" s="5">
        <f>C4*D4</f>
        <v>5000</v>
      </c>
      <c r="F4" s="4" t="s">
        <v>10</v>
      </c>
      <c r="G4" s="4" t="s">
        <v>11</v>
      </c>
    </row>
    <row r="5" spans="1:7" x14ac:dyDescent="0.25">
      <c r="A5" t="s">
        <v>8</v>
      </c>
      <c r="B5" t="s">
        <v>12</v>
      </c>
      <c r="C5" s="6">
        <v>300</v>
      </c>
      <c r="D5">
        <v>20</v>
      </c>
      <c r="E5" s="6">
        <f>C5*D5</f>
        <v>6000</v>
      </c>
      <c r="F5" t="s">
        <v>10</v>
      </c>
    </row>
    <row r="6" spans="1:7" x14ac:dyDescent="0.25">
      <c r="A6" s="4" t="s">
        <v>13</v>
      </c>
      <c r="B6" s="4" t="s">
        <v>14</v>
      </c>
      <c r="C6" s="5">
        <v>1200</v>
      </c>
      <c r="D6" s="4">
        <v>2</v>
      </c>
      <c r="E6" s="5">
        <f>C6*D6</f>
        <v>2400</v>
      </c>
      <c r="F6" s="4" t="s">
        <v>15</v>
      </c>
      <c r="G6" s="4"/>
    </row>
    <row r="7" spans="1:7" x14ac:dyDescent="0.25">
      <c r="A7" t="s">
        <v>13</v>
      </c>
      <c r="B7" t="s">
        <v>16</v>
      </c>
      <c r="C7" s="6">
        <v>450</v>
      </c>
      <c r="D7">
        <v>1</v>
      </c>
      <c r="E7" s="6">
        <f>C7*D7</f>
        <v>450</v>
      </c>
      <c r="F7" t="s">
        <v>10</v>
      </c>
    </row>
    <row r="8" spans="1:7" x14ac:dyDescent="0.25">
      <c r="A8" s="4" t="s">
        <v>17</v>
      </c>
      <c r="B8" s="4" t="s">
        <v>18</v>
      </c>
      <c r="C8" s="5">
        <v>150</v>
      </c>
      <c r="D8" s="4">
        <v>8</v>
      </c>
      <c r="E8" s="5">
        <f>C8*D8</f>
        <v>1200</v>
      </c>
      <c r="F8" s="4" t="s">
        <v>19</v>
      </c>
      <c r="G8" s="4" t="s">
        <v>20</v>
      </c>
    </row>
    <row r="9" spans="1:7" x14ac:dyDescent="0.25">
      <c r="A9" t="s">
        <v>21</v>
      </c>
      <c r="B9" t="s">
        <v>22</v>
      </c>
      <c r="C9" s="6">
        <v>0.25</v>
      </c>
      <c r="D9">
        <v>500</v>
      </c>
      <c r="E9" s="6">
        <f>C9*D9</f>
        <v>125</v>
      </c>
      <c r="F9" t="s">
        <v>15</v>
      </c>
    </row>
    <row r="10" spans="1:7" x14ac:dyDescent="0.25">
      <c r="A10" s="4" t="s">
        <v>21</v>
      </c>
      <c r="B10" s="4" t="s">
        <v>23</v>
      </c>
      <c r="C10" s="5">
        <v>200</v>
      </c>
      <c r="D10" s="4">
        <v>3</v>
      </c>
      <c r="E10" s="5">
        <f>C10*D10</f>
        <v>600</v>
      </c>
      <c r="F10" s="4" t="s">
        <v>10</v>
      </c>
      <c r="G10" s="4" t="s">
        <v>24</v>
      </c>
    </row>
    <row r="11" spans="1:7" x14ac:dyDescent="0.25">
      <c r="A11" t="s">
        <v>25</v>
      </c>
      <c r="B11" t="s">
        <v>26</v>
      </c>
      <c r="C11" s="6">
        <v>50</v>
      </c>
      <c r="D11">
        <v>20</v>
      </c>
      <c r="E11" s="6">
        <f>C11*D11</f>
        <v>1000</v>
      </c>
      <c r="F11" t="s">
        <v>15</v>
      </c>
      <c r="G11" t="s">
        <v>27</v>
      </c>
    </row>
    <row r="12" spans="1:7" x14ac:dyDescent="0.25">
      <c r="A12" s="4" t="s">
        <v>28</v>
      </c>
      <c r="B12" s="4" t="s">
        <v>29</v>
      </c>
      <c r="C12" s="5">
        <v>75</v>
      </c>
      <c r="D12" s="4">
        <v>15</v>
      </c>
      <c r="E12" s="5">
        <f>C12*D12</f>
        <v>1125</v>
      </c>
      <c r="F12" s="4" t="s">
        <v>19</v>
      </c>
      <c r="G12" s="4"/>
    </row>
    <row r="13" spans="1:7" x14ac:dyDescent="0.25">
      <c r="A13" t="s">
        <v>30</v>
      </c>
      <c r="B13" t="s">
        <v>31</v>
      </c>
      <c r="C13" s="6"/>
      <c r="E13" s="6"/>
      <c r="G13" t="s">
        <v>32</v>
      </c>
    </row>
    <row r="14" spans="1:7" x14ac:dyDescent="0.25">
      <c r="E14" s="6"/>
    </row>
    <row r="15" spans="1:7" x14ac:dyDescent="0.25">
      <c r="D15" t="s">
        <v>5</v>
      </c>
      <c r="E15" s="6">
        <f>SUM(E4:E12)</f>
        <v>17900</v>
      </c>
    </row>
    <row r="16" spans="1:7" x14ac:dyDescent="0.25">
      <c r="D16" t="s">
        <v>33</v>
      </c>
      <c r="E16" s="6">
        <f>E15*0.1</f>
        <v>1790</v>
      </c>
    </row>
    <row r="17" spans="4:5" x14ac:dyDescent="0.25">
      <c r="D17" s="3" t="s">
        <v>34</v>
      </c>
      <c r="E17" s="7">
        <f>E15+E16</f>
        <v>19690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Mukherjee</dc:creator>
  <cp:lastModifiedBy>Ayush Mukherjee</cp:lastModifiedBy>
  <dcterms:created xsi:type="dcterms:W3CDTF">2026-04-27T18:46:00Z</dcterms:created>
  <dcterms:modified xsi:type="dcterms:W3CDTF">2026-04-27T18:46:01Z</dcterms:modified>
</cp:coreProperties>
</file>